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isonmonte/Downloads/"/>
    </mc:Choice>
  </mc:AlternateContent>
  <xr:revisionPtr revIDLastSave="0" documentId="8_{357421F6-2DDB-9B46-A084-272021DF589A}" xr6:coauthVersionLast="47" xr6:coauthVersionMax="47" xr10:uidLastSave="{00000000-0000-0000-0000-000000000000}"/>
  <bookViews>
    <workbookView xWindow="2700" yWindow="500" windowWidth="39640" windowHeight="16140" activeTab="1" xr2:uid="{F0DF3438-95CC-7546-9E34-74E082E12917}"/>
  </bookViews>
  <sheets>
    <sheet name="Financial Goals" sheetId="1" r:id="rId1"/>
    <sheet name="Sheet1 (2)" sheetId="4" r:id="rId2"/>
    <sheet name="Sheet1" sheetId="3" r:id="rId3"/>
    <sheet name="Progressio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3" l="1"/>
  <c r="G4" i="3"/>
  <c r="G31" i="3"/>
  <c r="G30" i="3"/>
  <c r="G29" i="3"/>
  <c r="G28" i="3"/>
  <c r="G27" i="3"/>
  <c r="G26" i="3"/>
  <c r="G25" i="3"/>
  <c r="G24" i="3"/>
  <c r="G23" i="3"/>
  <c r="G22" i="3"/>
  <c r="G21" i="3"/>
  <c r="G20" i="3"/>
  <c r="G3" i="3"/>
  <c r="G5" i="3"/>
  <c r="G6" i="3"/>
  <c r="G16" i="3"/>
  <c r="J3" i="3" s="1"/>
  <c r="H4" i="3" s="1"/>
  <c r="G8" i="3"/>
  <c r="G9" i="3"/>
  <c r="G10" i="3"/>
  <c r="G11" i="3"/>
  <c r="G12" i="3"/>
  <c r="G13" i="3"/>
  <c r="G14" i="3"/>
  <c r="H31" i="3" l="1"/>
  <c r="H24" i="3"/>
  <c r="H27" i="3"/>
  <c r="H23" i="3"/>
  <c r="H28" i="3"/>
  <c r="H29" i="3"/>
  <c r="H25" i="3"/>
  <c r="H26" i="3"/>
  <c r="H20" i="3"/>
  <c r="H10" i="3"/>
  <c r="H21" i="3"/>
  <c r="H22" i="3"/>
  <c r="H30" i="3"/>
  <c r="G33" i="3"/>
  <c r="H6" i="3"/>
  <c r="H12" i="3"/>
  <c r="H11" i="3"/>
  <c r="H9" i="3"/>
  <c r="H8" i="3"/>
  <c r="H3" i="3"/>
  <c r="H7" i="3"/>
  <c r="H14" i="3"/>
  <c r="H13" i="3"/>
  <c r="H5" i="3"/>
</calcChain>
</file>

<file path=xl/sharedStrings.xml><?xml version="1.0" encoding="utf-8"?>
<sst xmlns="http://schemas.openxmlformats.org/spreadsheetml/2006/main" count="36" uniqueCount="15">
  <si>
    <t>This is how we want to invest our funds ($100,000)</t>
  </si>
  <si>
    <t xml:space="preserve">50% of the $100,000 into </t>
  </si>
  <si>
    <t>play around with the remaining</t>
  </si>
  <si>
    <t>Time</t>
  </si>
  <si>
    <t>Open</t>
  </si>
  <si>
    <t>High</t>
  </si>
  <si>
    <t>Low</t>
  </si>
  <si>
    <t>Close</t>
  </si>
  <si>
    <t>Volume</t>
  </si>
  <si>
    <t>DollarVolume</t>
  </si>
  <si>
    <t>BarsPerMinute</t>
  </si>
  <si>
    <t>Total Daily Value Traded:</t>
  </si>
  <si>
    <t>Dollar Treshold</t>
  </si>
  <si>
    <t>NVDA</t>
  </si>
  <si>
    <t>CHOW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</si>
</sst>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22" fontId="0" fillId="0" borderId="8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F543-1E80-D344-BEC0-FC5B61F387F4}">
  <dimension ref="A1:A3"/>
  <sheetViews>
    <sheetView workbookViewId="0">
      <selection activeCell="C4" sqref="C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51C6-1463-E845-AF6A-DDBE9332EF6E}">
  <dimension ref="A1:E32"/>
  <sheetViews>
    <sheetView tabSelected="1" workbookViewId="0">
      <selection activeCell="H22" sqref="H22"/>
    </sheetView>
  </sheetViews>
  <sheetFormatPr baseColWidth="10" defaultRowHeight="16" x14ac:dyDescent="0.2"/>
  <cols>
    <col min="1" max="3" width="10.83203125" style="2"/>
    <col min="4" max="4" width="22" style="2" customWidth="1"/>
    <col min="5" max="6" width="10.83203125" style="2"/>
    <col min="7" max="7" width="14.33203125" style="2" customWidth="1"/>
    <col min="8" max="16384" width="10.83203125" style="2"/>
  </cols>
  <sheetData>
    <row r="1" spans="1:5" ht="24" x14ac:dyDescent="0.3">
      <c r="A1" s="5" t="s">
        <v>13</v>
      </c>
      <c r="B1" s="5"/>
      <c r="C1" s="5"/>
      <c r="D1" s="5"/>
      <c r="E1" s="5"/>
    </row>
    <row r="2" spans="1:5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">
      <c r="A3" s="10">
        <v>189.29</v>
      </c>
      <c r="B3" s="10">
        <v>189.29</v>
      </c>
      <c r="C3" s="10">
        <v>188.96</v>
      </c>
      <c r="D3" s="10">
        <v>189.07</v>
      </c>
      <c r="E3" s="10">
        <v>283083</v>
      </c>
    </row>
    <row r="4" spans="1:5" x14ac:dyDescent="0.2">
      <c r="A4" s="10">
        <v>189.66</v>
      </c>
      <c r="B4" s="10">
        <v>189.69</v>
      </c>
      <c r="C4" s="10">
        <v>189.37</v>
      </c>
      <c r="D4" s="10">
        <v>189.38</v>
      </c>
      <c r="E4" s="10">
        <v>178501</v>
      </c>
    </row>
    <row r="5" spans="1:5" x14ac:dyDescent="0.2">
      <c r="A5" s="10">
        <v>189.75</v>
      </c>
      <c r="B5" s="10">
        <v>189.76</v>
      </c>
      <c r="C5" s="10">
        <v>189.34</v>
      </c>
      <c r="D5" s="10">
        <v>189.35</v>
      </c>
      <c r="E5" s="10">
        <v>169520</v>
      </c>
    </row>
    <row r="6" spans="1:5" x14ac:dyDescent="0.2">
      <c r="A6" s="10">
        <v>189.28</v>
      </c>
      <c r="B6" s="10">
        <v>189.4</v>
      </c>
      <c r="C6" s="10">
        <v>189.08</v>
      </c>
      <c r="D6" s="10">
        <v>189.1</v>
      </c>
      <c r="E6" s="10">
        <v>187426</v>
      </c>
    </row>
    <row r="7" spans="1:5" x14ac:dyDescent="0.2">
      <c r="A7" s="10">
        <v>188.94</v>
      </c>
      <c r="B7" s="10">
        <v>189.38</v>
      </c>
      <c r="C7" s="10">
        <v>188.94</v>
      </c>
      <c r="D7" s="10">
        <v>189.32</v>
      </c>
      <c r="E7" s="10">
        <v>224568</v>
      </c>
    </row>
    <row r="8" spans="1:5" x14ac:dyDescent="0.2">
      <c r="A8" s="10">
        <v>189.58</v>
      </c>
      <c r="B8" s="10">
        <v>189.66</v>
      </c>
      <c r="C8" s="10">
        <v>189.5</v>
      </c>
      <c r="D8" s="10">
        <v>189.58</v>
      </c>
      <c r="E8" s="10">
        <v>136909</v>
      </c>
    </row>
    <row r="9" spans="1:5" x14ac:dyDescent="0.2">
      <c r="A9" s="10">
        <v>189.56</v>
      </c>
      <c r="B9" s="10">
        <v>189.83</v>
      </c>
      <c r="C9" s="10">
        <v>189.53</v>
      </c>
      <c r="D9" s="10">
        <v>189.64</v>
      </c>
      <c r="E9" s="10">
        <v>182851</v>
      </c>
    </row>
    <row r="10" spans="1:5" x14ac:dyDescent="0.2">
      <c r="A10" s="10">
        <v>190.11</v>
      </c>
      <c r="B10" s="10">
        <v>190.27</v>
      </c>
      <c r="C10" s="10">
        <v>190.11</v>
      </c>
      <c r="D10" s="10">
        <v>190.16</v>
      </c>
      <c r="E10" s="10">
        <v>221934</v>
      </c>
    </row>
    <row r="11" spans="1:5" x14ac:dyDescent="0.2">
      <c r="A11" s="10">
        <v>190.21</v>
      </c>
      <c r="B11" s="10">
        <v>190.36</v>
      </c>
      <c r="C11" s="10">
        <v>190.1</v>
      </c>
      <c r="D11" s="10">
        <v>190.29</v>
      </c>
      <c r="E11" s="10">
        <v>250047</v>
      </c>
    </row>
    <row r="12" spans="1:5" x14ac:dyDescent="0.2">
      <c r="A12" s="10">
        <v>190.18</v>
      </c>
      <c r="B12" s="10">
        <v>190.23</v>
      </c>
      <c r="C12" s="10">
        <v>190.02</v>
      </c>
      <c r="D12" s="10">
        <v>190.13</v>
      </c>
      <c r="E12" s="10">
        <v>178103</v>
      </c>
    </row>
    <row r="13" spans="1:5" x14ac:dyDescent="0.2">
      <c r="A13" s="10">
        <v>189.96</v>
      </c>
      <c r="B13" s="10">
        <v>190.27</v>
      </c>
      <c r="C13" s="10">
        <v>189.88</v>
      </c>
      <c r="D13" s="10">
        <v>190.15</v>
      </c>
      <c r="E13" s="10">
        <v>215205</v>
      </c>
    </row>
    <row r="14" spans="1:5" x14ac:dyDescent="0.2">
      <c r="A14" s="10">
        <v>189.59</v>
      </c>
      <c r="B14" s="10">
        <v>189.84</v>
      </c>
      <c r="C14" s="10">
        <v>189.5</v>
      </c>
      <c r="D14" s="10">
        <v>189.79</v>
      </c>
      <c r="E14" s="10">
        <v>491535</v>
      </c>
    </row>
    <row r="15" spans="1:5" ht="17" thickBot="1" x14ac:dyDescent="0.25">
      <c r="A15" s="10"/>
      <c r="B15" s="10"/>
      <c r="C15" s="10"/>
      <c r="D15" s="3"/>
      <c r="E15" s="10"/>
    </row>
    <row r="16" spans="1:5" ht="18" thickTop="1" thickBot="1" x14ac:dyDescent="0.25"/>
    <row r="17" spans="1:5" ht="24" x14ac:dyDescent="0.3">
      <c r="A17" s="5" t="s">
        <v>14</v>
      </c>
      <c r="B17" s="5"/>
      <c r="C17" s="5"/>
      <c r="D17" s="5"/>
      <c r="E17" s="5"/>
    </row>
    <row r="18" spans="1:5" x14ac:dyDescent="0.2">
      <c r="A18" s="1" t="s">
        <v>4</v>
      </c>
      <c r="B18" s="1" t="s">
        <v>5</v>
      </c>
      <c r="C18" s="1" t="s">
        <v>6</v>
      </c>
      <c r="D18" s="1" t="s">
        <v>7</v>
      </c>
      <c r="E18" s="1" t="s">
        <v>8</v>
      </c>
    </row>
    <row r="19" spans="1:5" x14ac:dyDescent="0.2">
      <c r="A19" s="10">
        <v>0.79700000000000004</v>
      </c>
      <c r="B19" s="10">
        <v>0.82</v>
      </c>
      <c r="C19" s="10">
        <v>0.79159999999999997</v>
      </c>
      <c r="D19" s="10">
        <v>0.81010000000000004</v>
      </c>
      <c r="E19" s="10">
        <v>603442</v>
      </c>
    </row>
    <row r="20" spans="1:5" x14ac:dyDescent="0.2">
      <c r="A20" s="10">
        <v>0.81</v>
      </c>
      <c r="B20" s="10">
        <v>0.82469999999999999</v>
      </c>
      <c r="C20" s="10">
        <v>0.79969999999999997</v>
      </c>
      <c r="D20" s="10">
        <v>0.82430000000000003</v>
      </c>
      <c r="E20" s="10">
        <v>234902</v>
      </c>
    </row>
    <row r="21" spans="1:5" x14ac:dyDescent="0.2">
      <c r="A21" s="10">
        <v>0.84589999999999999</v>
      </c>
      <c r="B21" s="10">
        <v>0.84789999999999999</v>
      </c>
      <c r="C21" s="10">
        <v>0.83530000000000004</v>
      </c>
      <c r="D21" s="10">
        <v>0.83899999999999997</v>
      </c>
      <c r="E21" s="10">
        <v>217952</v>
      </c>
    </row>
    <row r="22" spans="1:5" x14ac:dyDescent="0.2">
      <c r="A22" s="10">
        <v>0.90639999999999998</v>
      </c>
      <c r="B22" s="10">
        <v>0.90820000000000001</v>
      </c>
      <c r="C22" s="10">
        <v>0.872</v>
      </c>
      <c r="D22" s="10">
        <v>0.88080000000000003</v>
      </c>
      <c r="E22" s="10">
        <v>650712</v>
      </c>
    </row>
    <row r="23" spans="1:5" x14ac:dyDescent="0.2">
      <c r="A23" s="10">
        <v>0.86450000000000005</v>
      </c>
      <c r="B23" s="10">
        <v>0.86560000000000004</v>
      </c>
      <c r="C23" s="10">
        <v>0.83499999999999996</v>
      </c>
      <c r="D23" s="10">
        <v>0.84</v>
      </c>
      <c r="E23" s="10">
        <v>363661</v>
      </c>
    </row>
    <row r="24" spans="1:5" x14ac:dyDescent="0.2">
      <c r="A24" s="10">
        <v>0.83640000000000003</v>
      </c>
      <c r="B24" s="10">
        <v>0.8427</v>
      </c>
      <c r="C24" s="10">
        <v>0.83</v>
      </c>
      <c r="D24" s="10">
        <v>0.83109999999999995</v>
      </c>
      <c r="E24" s="10">
        <v>248863</v>
      </c>
    </row>
    <row r="25" spans="1:5" x14ac:dyDescent="0.2">
      <c r="A25" s="10">
        <v>0.86950000000000005</v>
      </c>
      <c r="B25" s="10">
        <v>0.88300000000000001</v>
      </c>
      <c r="C25" s="10">
        <v>0.85129999999999995</v>
      </c>
      <c r="D25" s="10">
        <v>0.87309999999999999</v>
      </c>
      <c r="E25" s="10">
        <v>367308</v>
      </c>
    </row>
    <row r="26" spans="1:5" x14ac:dyDescent="0.2">
      <c r="A26" s="10">
        <v>0.89390000000000003</v>
      </c>
      <c r="B26" s="10">
        <v>0.90600000000000003</v>
      </c>
      <c r="C26" s="10">
        <v>0.88370000000000004</v>
      </c>
      <c r="D26" s="10">
        <v>0.89080000000000004</v>
      </c>
      <c r="E26" s="10">
        <v>412695</v>
      </c>
    </row>
    <row r="27" spans="1:5" x14ac:dyDescent="0.2">
      <c r="A27" s="10">
        <v>0.90290000000000004</v>
      </c>
      <c r="B27" s="10">
        <v>0.92930000000000001</v>
      </c>
      <c r="C27" s="10">
        <v>0.90290000000000004</v>
      </c>
      <c r="D27" s="10">
        <v>0.92669999999999997</v>
      </c>
      <c r="E27" s="10">
        <v>376549</v>
      </c>
    </row>
    <row r="28" spans="1:5" x14ac:dyDescent="0.2">
      <c r="A28" s="10">
        <v>0.93379999999999996</v>
      </c>
      <c r="B28" s="10">
        <v>0.95220000000000005</v>
      </c>
      <c r="C28" s="10">
        <v>0.93069999999999997</v>
      </c>
      <c r="D28" s="10">
        <v>0.95120000000000005</v>
      </c>
      <c r="E28" s="10">
        <v>717759</v>
      </c>
    </row>
    <row r="29" spans="1:5" x14ac:dyDescent="0.2">
      <c r="A29" s="10">
        <v>0.97489999999999999</v>
      </c>
      <c r="B29" s="10">
        <v>0.97799999999999998</v>
      </c>
      <c r="C29" s="10">
        <v>0.9143</v>
      </c>
      <c r="D29" s="10">
        <v>0.91479999999999995</v>
      </c>
      <c r="E29" s="10">
        <v>1149015</v>
      </c>
    </row>
    <row r="30" spans="1:5" x14ac:dyDescent="0.2">
      <c r="A30" s="10">
        <v>0.89759999999999995</v>
      </c>
      <c r="B30" s="10">
        <v>0.91900000000000004</v>
      </c>
      <c r="C30" s="10">
        <v>0.89739999999999998</v>
      </c>
      <c r="D30" s="10">
        <v>0.91539999999999999</v>
      </c>
      <c r="E30" s="10">
        <v>313064</v>
      </c>
    </row>
    <row r="31" spans="1:5" ht="17" thickBot="1" x14ac:dyDescent="0.25">
      <c r="A31" s="10"/>
      <c r="B31" s="10"/>
      <c r="C31" s="10"/>
      <c r="D31" s="3"/>
      <c r="E31" s="10"/>
    </row>
    <row r="32" spans="1:5" ht="17" thickTop="1" x14ac:dyDescent="0.2"/>
  </sheetData>
  <mergeCells count="2">
    <mergeCell ref="A1:E1"/>
    <mergeCell ref="A17:E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894AF-8F9D-B143-84C2-8E6DB46946AB}">
  <dimension ref="A1:J33"/>
  <sheetViews>
    <sheetView workbookViewId="0">
      <selection activeCell="E5" sqref="E5"/>
    </sheetView>
  </sheetViews>
  <sheetFormatPr baseColWidth="10" defaultRowHeight="16" x14ac:dyDescent="0.2"/>
  <cols>
    <col min="1" max="1" width="12.83203125" style="2" customWidth="1"/>
    <col min="2" max="5" width="10.83203125" style="2"/>
    <col min="6" max="6" width="22" style="2" customWidth="1"/>
    <col min="7" max="7" width="16.83203125" style="2" customWidth="1"/>
    <col min="8" max="8" width="17.6640625" style="2" customWidth="1"/>
    <col min="9" max="9" width="10.83203125" style="2"/>
    <col min="10" max="10" width="14.33203125" style="2" customWidth="1"/>
    <col min="11" max="16384" width="10.83203125" style="2"/>
  </cols>
  <sheetData>
    <row r="1" spans="1:10" ht="24" x14ac:dyDescent="0.3">
      <c r="A1" s="4" t="s">
        <v>13</v>
      </c>
      <c r="B1" s="5"/>
      <c r="C1" s="5"/>
      <c r="D1" s="5"/>
      <c r="E1" s="5"/>
      <c r="F1" s="5"/>
      <c r="G1" s="5"/>
      <c r="H1" s="6"/>
    </row>
    <row r="2" spans="1:10" x14ac:dyDescent="0.2">
      <c r="A2" s="7" t="s">
        <v>3</v>
      </c>
      <c r="B2" s="1" t="s">
        <v>4</v>
      </c>
      <c r="C2" s="1" t="s">
        <v>5</v>
      </c>
      <c r="D2" s="1" t="s">
        <v>6</v>
      </c>
      <c r="E2" s="1" t="s">
        <v>8</v>
      </c>
      <c r="F2" s="1" t="s">
        <v>7</v>
      </c>
      <c r="G2" s="1" t="s">
        <v>9</v>
      </c>
      <c r="H2" s="8" t="s">
        <v>10</v>
      </c>
      <c r="J2" s="1" t="s">
        <v>12</v>
      </c>
    </row>
    <row r="3" spans="1:10" x14ac:dyDescent="0.2">
      <c r="A3" s="9">
        <v>46065.5</v>
      </c>
      <c r="B3" s="10">
        <v>189.29</v>
      </c>
      <c r="C3" s="10">
        <v>189.29</v>
      </c>
      <c r="D3" s="10">
        <v>188.96</v>
      </c>
      <c r="E3" s="10">
        <v>283083</v>
      </c>
      <c r="F3" s="10">
        <v>189.07</v>
      </c>
      <c r="G3" s="10">
        <f>E3*F3</f>
        <v>53522502.809999995</v>
      </c>
      <c r="H3" s="11">
        <f>G3/$J$3</f>
        <v>5.1890200441992267</v>
      </c>
      <c r="J3" s="2">
        <f>G16/50</f>
        <v>10314568.522399999</v>
      </c>
    </row>
    <row r="4" spans="1:10" x14ac:dyDescent="0.2">
      <c r="A4" s="9">
        <v>46065.503472222219</v>
      </c>
      <c r="B4" s="10">
        <v>189.66</v>
      </c>
      <c r="C4" s="10">
        <v>189.69</v>
      </c>
      <c r="D4" s="10">
        <v>189.37</v>
      </c>
      <c r="E4" s="10">
        <v>178501</v>
      </c>
      <c r="F4" s="10">
        <v>189.38</v>
      </c>
      <c r="G4" s="10">
        <f>E4*F4</f>
        <v>33804519.380000003</v>
      </c>
      <c r="H4" s="11">
        <f t="shared" ref="H4:H14" si="0">G4/$J$3</f>
        <v>3.2773566152173226</v>
      </c>
    </row>
    <row r="5" spans="1:10" x14ac:dyDescent="0.2">
      <c r="A5" s="9">
        <v>46065.506944444445</v>
      </c>
      <c r="B5" s="10">
        <v>189.75</v>
      </c>
      <c r="C5" s="10">
        <v>189.76</v>
      </c>
      <c r="D5" s="10">
        <v>189.34</v>
      </c>
      <c r="E5" s="10">
        <v>169520</v>
      </c>
      <c r="F5" s="10">
        <v>189.35</v>
      </c>
      <c r="G5" s="10">
        <f>E5*F5</f>
        <v>32098612</v>
      </c>
      <c r="H5" s="11">
        <f t="shared" si="0"/>
        <v>3.1119684677349237</v>
      </c>
    </row>
    <row r="6" spans="1:10" x14ac:dyDescent="0.2">
      <c r="A6" s="9">
        <v>46065.510416666664</v>
      </c>
      <c r="B6" s="10">
        <v>189.28</v>
      </c>
      <c r="C6" s="10">
        <v>189.4</v>
      </c>
      <c r="D6" s="10">
        <v>189.08</v>
      </c>
      <c r="E6" s="10">
        <v>187426</v>
      </c>
      <c r="F6" s="10">
        <v>189.1</v>
      </c>
      <c r="G6" s="10">
        <f>E6*F6</f>
        <v>35442256.600000001</v>
      </c>
      <c r="H6" s="11">
        <f t="shared" si="0"/>
        <v>3.4361356486246191</v>
      </c>
    </row>
    <row r="7" spans="1:10" x14ac:dyDescent="0.2">
      <c r="A7" s="9">
        <v>46065.513888888891</v>
      </c>
      <c r="B7" s="10">
        <v>188.94</v>
      </c>
      <c r="C7" s="10">
        <v>189.38</v>
      </c>
      <c r="D7" s="10">
        <v>188.94</v>
      </c>
      <c r="E7" s="10">
        <v>224568</v>
      </c>
      <c r="F7" s="10">
        <v>189.32</v>
      </c>
      <c r="G7" s="10">
        <f>E7*F7</f>
        <v>42515213.759999998</v>
      </c>
      <c r="H7" s="11">
        <f t="shared" si="0"/>
        <v>4.1218606156593296</v>
      </c>
    </row>
    <row r="8" spans="1:10" x14ac:dyDescent="0.2">
      <c r="A8" s="9">
        <v>46065.517361111109</v>
      </c>
      <c r="B8" s="10">
        <v>189.58</v>
      </c>
      <c r="C8" s="10">
        <v>189.66</v>
      </c>
      <c r="D8" s="10">
        <v>189.5</v>
      </c>
      <c r="E8" s="10">
        <v>136909</v>
      </c>
      <c r="F8" s="10">
        <v>189.58</v>
      </c>
      <c r="G8" s="10">
        <f>E8*F8</f>
        <v>25955208.220000003</v>
      </c>
      <c r="H8" s="11">
        <f t="shared" si="0"/>
        <v>2.5163639335599401</v>
      </c>
    </row>
    <row r="9" spans="1:10" x14ac:dyDescent="0.2">
      <c r="A9" s="9">
        <v>46065.520833333336</v>
      </c>
      <c r="B9" s="10">
        <v>189.56</v>
      </c>
      <c r="C9" s="10">
        <v>189.83</v>
      </c>
      <c r="D9" s="10">
        <v>189.53</v>
      </c>
      <c r="E9" s="10">
        <v>182851</v>
      </c>
      <c r="F9" s="10">
        <v>189.64</v>
      </c>
      <c r="G9" s="10">
        <f>E9*F9</f>
        <v>34675863.640000001</v>
      </c>
      <c r="H9" s="11">
        <f t="shared" si="0"/>
        <v>3.3618336593232114</v>
      </c>
    </row>
    <row r="10" spans="1:10" x14ac:dyDescent="0.2">
      <c r="A10" s="9">
        <v>46065.524305555555</v>
      </c>
      <c r="B10" s="10">
        <v>190.11</v>
      </c>
      <c r="C10" s="10">
        <v>190.27</v>
      </c>
      <c r="D10" s="10">
        <v>190.11</v>
      </c>
      <c r="E10" s="10">
        <v>221934</v>
      </c>
      <c r="F10" s="10">
        <v>190.16</v>
      </c>
      <c r="G10" s="10">
        <f>E10*F10</f>
        <v>42202969.439999998</v>
      </c>
      <c r="H10" s="11">
        <f t="shared" si="0"/>
        <v>4.0915884506800664</v>
      </c>
    </row>
    <row r="11" spans="1:10" x14ac:dyDescent="0.2">
      <c r="A11" s="9">
        <v>46065.527777777781</v>
      </c>
      <c r="B11" s="10">
        <v>190.21</v>
      </c>
      <c r="C11" s="10">
        <v>190.36</v>
      </c>
      <c r="D11" s="10">
        <v>190.1</v>
      </c>
      <c r="E11" s="10">
        <v>250047</v>
      </c>
      <c r="F11" s="10">
        <v>190.29</v>
      </c>
      <c r="G11" s="10">
        <f>E11*F11</f>
        <v>47581443.629999995</v>
      </c>
      <c r="H11" s="11">
        <f t="shared" si="0"/>
        <v>4.613032869641426</v>
      </c>
    </row>
    <row r="12" spans="1:10" x14ac:dyDescent="0.2">
      <c r="A12" s="9">
        <v>46065.53125</v>
      </c>
      <c r="B12" s="10">
        <v>190.18</v>
      </c>
      <c r="C12" s="10">
        <v>190.23</v>
      </c>
      <c r="D12" s="10">
        <v>190.02</v>
      </c>
      <c r="E12" s="10">
        <v>178103</v>
      </c>
      <c r="F12" s="10">
        <v>190.13</v>
      </c>
      <c r="G12" s="10">
        <f>E12*F12</f>
        <v>33862723.390000001</v>
      </c>
      <c r="H12" s="11">
        <f t="shared" si="0"/>
        <v>3.2829995085553811</v>
      </c>
    </row>
    <row r="13" spans="1:10" x14ac:dyDescent="0.2">
      <c r="A13" s="9">
        <v>46065.534722222219</v>
      </c>
      <c r="B13" s="10">
        <v>189.96</v>
      </c>
      <c r="C13" s="10">
        <v>190.27</v>
      </c>
      <c r="D13" s="10">
        <v>189.88</v>
      </c>
      <c r="E13" s="10">
        <v>215205</v>
      </c>
      <c r="F13" s="10">
        <v>190.15</v>
      </c>
      <c r="G13" s="10">
        <f>E13*F13</f>
        <v>40921230.75</v>
      </c>
      <c r="H13" s="11">
        <f t="shared" si="0"/>
        <v>3.9673235638632827</v>
      </c>
    </row>
    <row r="14" spans="1:10" x14ac:dyDescent="0.2">
      <c r="A14" s="9">
        <v>46065.538194444445</v>
      </c>
      <c r="B14" s="10">
        <v>189.59</v>
      </c>
      <c r="C14" s="10">
        <v>189.84</v>
      </c>
      <c r="D14" s="10">
        <v>189.5</v>
      </c>
      <c r="E14" s="10">
        <v>491535</v>
      </c>
      <c r="F14" s="10">
        <v>189.79</v>
      </c>
      <c r="G14" s="10">
        <f>E14*D14</f>
        <v>93145882.5</v>
      </c>
      <c r="H14" s="11">
        <f t="shared" si="0"/>
        <v>9.0305166229412741</v>
      </c>
    </row>
    <row r="15" spans="1:10" ht="17" thickBot="1" x14ac:dyDescent="0.25">
      <c r="A15" s="12"/>
      <c r="B15" s="10"/>
      <c r="C15" s="10"/>
      <c r="D15" s="10"/>
      <c r="E15" s="10"/>
      <c r="F15" s="3"/>
      <c r="G15" s="3"/>
      <c r="H15" s="11"/>
    </row>
    <row r="16" spans="1:10" ht="18" thickTop="1" thickBot="1" x14ac:dyDescent="0.25">
      <c r="A16" s="13"/>
      <c r="B16" s="14"/>
      <c r="C16" s="14"/>
      <c r="D16" s="14"/>
      <c r="E16" s="14"/>
      <c r="F16" s="15" t="s">
        <v>11</v>
      </c>
      <c r="G16" s="15">
        <f>SUM(G3:G14)</f>
        <v>515728426.11999995</v>
      </c>
      <c r="H16" s="16"/>
    </row>
    <row r="17" spans="1:8" ht="17" thickBot="1" x14ac:dyDescent="0.25"/>
    <row r="18" spans="1:8" ht="24" x14ac:dyDescent="0.3">
      <c r="A18" s="4" t="s">
        <v>14</v>
      </c>
      <c r="B18" s="5"/>
      <c r="C18" s="5"/>
      <c r="D18" s="5"/>
      <c r="E18" s="5"/>
      <c r="F18" s="5"/>
      <c r="G18" s="5"/>
      <c r="H18" s="6"/>
    </row>
    <row r="19" spans="1:8" x14ac:dyDescent="0.2">
      <c r="A19" s="7" t="s">
        <v>3</v>
      </c>
      <c r="B19" s="1" t="s">
        <v>4</v>
      </c>
      <c r="C19" s="1" t="s">
        <v>5</v>
      </c>
      <c r="D19" s="1" t="s">
        <v>6</v>
      </c>
      <c r="E19" s="1" t="s">
        <v>8</v>
      </c>
      <c r="F19" s="1" t="s">
        <v>7</v>
      </c>
      <c r="G19" s="1" t="s">
        <v>9</v>
      </c>
      <c r="H19" s="8" t="s">
        <v>10</v>
      </c>
    </row>
    <row r="20" spans="1:8" x14ac:dyDescent="0.2">
      <c r="A20" s="9">
        <v>46065.5</v>
      </c>
      <c r="B20" s="10">
        <v>0.79700000000000004</v>
      </c>
      <c r="C20" s="10">
        <v>0.82</v>
      </c>
      <c r="D20" s="10">
        <v>0.79159999999999997</v>
      </c>
      <c r="E20" s="10">
        <v>603442</v>
      </c>
      <c r="F20" s="10">
        <v>0.81010000000000004</v>
      </c>
      <c r="G20" s="10">
        <f>E20*F20</f>
        <v>488848.36420000001</v>
      </c>
      <c r="H20" s="11">
        <f>G20/$J$3</f>
        <v>4.7393971268732675E-2</v>
      </c>
    </row>
    <row r="21" spans="1:8" x14ac:dyDescent="0.2">
      <c r="A21" s="9">
        <v>46065.503472222219</v>
      </c>
      <c r="B21" s="10">
        <v>0.81</v>
      </c>
      <c r="C21" s="10">
        <v>0.82469999999999999</v>
      </c>
      <c r="D21" s="10">
        <v>0.79969999999999997</v>
      </c>
      <c r="E21" s="10">
        <v>234902</v>
      </c>
      <c r="F21" s="10">
        <v>0.82430000000000003</v>
      </c>
      <c r="G21" s="10">
        <f>E21*F21</f>
        <v>193629.71860000002</v>
      </c>
      <c r="H21" s="11">
        <f t="shared" ref="H21:H31" si="1">G21/$J$3</f>
        <v>1.8772449684104301E-2</v>
      </c>
    </row>
    <row r="22" spans="1:8" x14ac:dyDescent="0.2">
      <c r="A22" s="9">
        <v>46065.506944444445</v>
      </c>
      <c r="B22" s="10">
        <v>0.84589999999999999</v>
      </c>
      <c r="C22" s="10">
        <v>0.84789999999999999</v>
      </c>
      <c r="D22" s="10">
        <v>0.83530000000000004</v>
      </c>
      <c r="E22" s="10">
        <v>217952</v>
      </c>
      <c r="F22" s="10">
        <v>0.83899999999999997</v>
      </c>
      <c r="G22" s="10">
        <f>E22*F22</f>
        <v>182861.728</v>
      </c>
      <c r="H22" s="11">
        <f t="shared" si="1"/>
        <v>1.7728490300188693E-2</v>
      </c>
    </row>
    <row r="23" spans="1:8" x14ac:dyDescent="0.2">
      <c r="A23" s="9">
        <v>46065.510416666664</v>
      </c>
      <c r="B23" s="10">
        <v>0.90639999999999998</v>
      </c>
      <c r="C23" s="10">
        <v>0.90820000000000001</v>
      </c>
      <c r="D23" s="10">
        <v>0.872</v>
      </c>
      <c r="E23" s="10">
        <v>650712</v>
      </c>
      <c r="F23" s="10">
        <v>0.88080000000000003</v>
      </c>
      <c r="G23" s="10">
        <f>E23*F23</f>
        <v>573147.12959999999</v>
      </c>
      <c r="H23" s="11">
        <f t="shared" si="1"/>
        <v>5.5566757674381108E-2</v>
      </c>
    </row>
    <row r="24" spans="1:8" x14ac:dyDescent="0.2">
      <c r="A24" s="9">
        <v>46065.513888888891</v>
      </c>
      <c r="B24" s="10">
        <v>0.86450000000000005</v>
      </c>
      <c r="C24" s="10">
        <v>0.86560000000000004</v>
      </c>
      <c r="D24" s="10">
        <v>0.83499999999999996</v>
      </c>
      <c r="E24" s="10">
        <v>363661</v>
      </c>
      <c r="F24" s="10">
        <v>0.84</v>
      </c>
      <c r="G24" s="10">
        <f>E24*F24</f>
        <v>305475.24</v>
      </c>
      <c r="H24" s="11">
        <f t="shared" si="1"/>
        <v>2.9615900978950678E-2</v>
      </c>
    </row>
    <row r="25" spans="1:8" x14ac:dyDescent="0.2">
      <c r="A25" s="9">
        <v>46065.517361111109</v>
      </c>
      <c r="B25" s="10">
        <v>0.83640000000000003</v>
      </c>
      <c r="C25" s="10">
        <v>0.8427</v>
      </c>
      <c r="D25" s="10">
        <v>0.83</v>
      </c>
      <c r="E25" s="10">
        <v>248863</v>
      </c>
      <c r="F25" s="10">
        <v>0.83109999999999995</v>
      </c>
      <c r="G25" s="10">
        <f>E25*F25</f>
        <v>206830.03929999997</v>
      </c>
      <c r="H25" s="11">
        <f t="shared" si="1"/>
        <v>2.005222408003109E-2</v>
      </c>
    </row>
    <row r="26" spans="1:8" x14ac:dyDescent="0.2">
      <c r="A26" s="9">
        <v>46065.520833333336</v>
      </c>
      <c r="B26" s="10">
        <v>0.86950000000000005</v>
      </c>
      <c r="C26" s="10">
        <v>0.88300000000000001</v>
      </c>
      <c r="D26" s="10">
        <v>0.85129999999999995</v>
      </c>
      <c r="E26" s="10">
        <v>367308</v>
      </c>
      <c r="F26" s="10">
        <v>0.87309999999999999</v>
      </c>
      <c r="G26" s="10">
        <f>E26*F26</f>
        <v>320696.61479999998</v>
      </c>
      <c r="H26" s="11">
        <f t="shared" si="1"/>
        <v>3.109161707574561E-2</v>
      </c>
    </row>
    <row r="27" spans="1:8" x14ac:dyDescent="0.2">
      <c r="A27" s="9">
        <v>46065.524305555555</v>
      </c>
      <c r="B27" s="10">
        <v>0.89390000000000003</v>
      </c>
      <c r="C27" s="10">
        <v>0.90600000000000003</v>
      </c>
      <c r="D27" s="10">
        <v>0.88370000000000004</v>
      </c>
      <c r="E27" s="10">
        <v>412695</v>
      </c>
      <c r="F27" s="10">
        <v>0.89080000000000004</v>
      </c>
      <c r="G27" s="10">
        <f>E27*F27</f>
        <v>367628.70600000001</v>
      </c>
      <c r="H27" s="11">
        <f t="shared" si="1"/>
        <v>3.564169506476457E-2</v>
      </c>
    </row>
    <row r="28" spans="1:8" x14ac:dyDescent="0.2">
      <c r="A28" s="9">
        <v>46065.527777777781</v>
      </c>
      <c r="B28" s="10">
        <v>0.90290000000000004</v>
      </c>
      <c r="C28" s="10">
        <v>0.92930000000000001</v>
      </c>
      <c r="D28" s="10">
        <v>0.90290000000000004</v>
      </c>
      <c r="E28" s="10">
        <v>376549</v>
      </c>
      <c r="F28" s="10">
        <v>0.92669999999999997</v>
      </c>
      <c r="G28" s="10">
        <f>E28*F28</f>
        <v>348947.9583</v>
      </c>
      <c r="H28" s="11">
        <f t="shared" si="1"/>
        <v>3.3830591899427956E-2</v>
      </c>
    </row>
    <row r="29" spans="1:8" x14ac:dyDescent="0.2">
      <c r="A29" s="9">
        <v>46065.53125</v>
      </c>
      <c r="B29" s="10">
        <v>0.93379999999999996</v>
      </c>
      <c r="C29" s="10">
        <v>0.95220000000000005</v>
      </c>
      <c r="D29" s="10">
        <v>0.93069999999999997</v>
      </c>
      <c r="E29" s="10">
        <v>717759</v>
      </c>
      <c r="F29" s="10">
        <v>0.95120000000000005</v>
      </c>
      <c r="G29" s="10">
        <f>E29*F29</f>
        <v>682732.36080000002</v>
      </c>
      <c r="H29" s="11">
        <f t="shared" si="1"/>
        <v>6.6191073268583173E-2</v>
      </c>
    </row>
    <row r="30" spans="1:8" x14ac:dyDescent="0.2">
      <c r="A30" s="9">
        <v>46065.534722222219</v>
      </c>
      <c r="B30" s="10">
        <v>0.97489999999999999</v>
      </c>
      <c r="C30" s="10">
        <v>0.97799999999999998</v>
      </c>
      <c r="D30" s="10">
        <v>0.9143</v>
      </c>
      <c r="E30" s="10">
        <v>1149015</v>
      </c>
      <c r="F30" s="10">
        <v>0.91479999999999995</v>
      </c>
      <c r="G30" s="10">
        <f>E30*F30</f>
        <v>1051118.922</v>
      </c>
      <c r="H30" s="11">
        <f t="shared" si="1"/>
        <v>0.10190624258468013</v>
      </c>
    </row>
    <row r="31" spans="1:8" x14ac:dyDescent="0.2">
      <c r="A31" s="9">
        <v>46065.538194444445</v>
      </c>
      <c r="B31" s="10">
        <v>0.89759999999999995</v>
      </c>
      <c r="C31" s="10">
        <v>0.91900000000000004</v>
      </c>
      <c r="D31" s="10">
        <v>0.89739999999999998</v>
      </c>
      <c r="E31" s="10">
        <v>313064</v>
      </c>
      <c r="F31" s="10">
        <v>0.91539999999999999</v>
      </c>
      <c r="G31" s="10">
        <f>E31*D31</f>
        <v>280943.6336</v>
      </c>
      <c r="H31" s="11">
        <f t="shared" si="1"/>
        <v>2.7237555598169597E-2</v>
      </c>
    </row>
    <row r="32" spans="1:8" ht="17" thickBot="1" x14ac:dyDescent="0.25">
      <c r="A32" s="12"/>
      <c r="B32" s="10"/>
      <c r="C32" s="10"/>
      <c r="D32" s="10"/>
      <c r="E32" s="10"/>
      <c r="F32" s="3"/>
      <c r="G32" s="3"/>
      <c r="H32" s="11"/>
    </row>
    <row r="33" spans="1:8" ht="18" thickTop="1" thickBot="1" x14ac:dyDescent="0.25">
      <c r="A33" s="13"/>
      <c r="B33" s="14"/>
      <c r="C33" s="14"/>
      <c r="D33" s="14"/>
      <c r="E33" s="14"/>
      <c r="F33" s="15" t="s">
        <v>11</v>
      </c>
      <c r="G33" s="15">
        <f>SUM(G20:G31)</f>
        <v>5002860.4152000006</v>
      </c>
      <c r="H33" s="16"/>
    </row>
  </sheetData>
  <mergeCells count="2">
    <mergeCell ref="A1:H1"/>
    <mergeCell ref="A18:H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B2D81-0209-AA42-8293-0E721F0CE34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 Goals</vt:lpstr>
      <vt:lpstr>Sheet1 (2)</vt:lpstr>
      <vt:lpstr>Sheet1</vt:lpstr>
      <vt:lpstr>Progression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 Monte</dc:creator>
  <cp:lastModifiedBy>Madison Monte</cp:lastModifiedBy>
  <dcterms:created xsi:type="dcterms:W3CDTF">2026-02-10T21:45:31Z</dcterms:created>
  <dcterms:modified xsi:type="dcterms:W3CDTF">2026-02-17T20:55:06Z</dcterms:modified>
</cp:coreProperties>
</file>